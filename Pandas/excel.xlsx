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_Dataset" sheetId="1" state="visible" r:id="rId1"/>
    <sheet xmlns:r="http://schemas.openxmlformats.org/officeDocument/2006/relationships" name="Interview_Questions" sheetId="2" state="visible" r:id="rId2"/>
    <sheet xmlns:r="http://schemas.openxmlformats.org/officeDocument/2006/relationships" name="Interview_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terviewTable" displayName="InterviewTable" ref="A3:AI23" headerRowCount="1">
  <autoFilter ref="A3:AI23"/>
  <tableColumns count="35">
    <tableColumn id="1" name="Emp_ID"/>
    <tableColumn id="2" name="Name"/>
    <tableColumn id="3" name="Department"/>
    <tableColumn id="4" name="Job_Role"/>
    <tableColumn id="5" name="City"/>
    <tableColumn id="6" name="Gender"/>
    <tableColumn id="7" name="Age"/>
    <tableColumn id="8" name="Experience_Years"/>
    <tableColumn id="9" name="Join_Date"/>
    <tableColumn id="10" name="Salary"/>
    <tableColumn id="11" name="Bonus"/>
    <tableColumn id="12" name="Performance_Score"/>
    <tableColumn id="13" name="Projects_Handled"/>
    <tableColumn id="14" name="Training_Hours"/>
    <tableColumn id="15" name="Last_Promotion_Date"/>
    <tableColumn id="16" name="Manager"/>
    <tableColumn id="17" name="Employment_Type"/>
    <tableColumn id="18" name="Work_Mode"/>
    <tableColumn id="19" name="Education"/>
    <tableColumn id="20" name="University"/>
    <tableColumn id="21" name="Skills"/>
    <tableColumn id="22" name="Certification_Count"/>
    <tableColumn id="23" name="Overtime_Hours"/>
    <tableColumn id="24" name="Leaves_Taken"/>
    <tableColumn id="25" name="Sick_Leaves"/>
    <tableColumn id="26" name="Resigned"/>
    <tableColumn id="27" name="Exit_Date"/>
    <tableColumn id="28" name="Satisfaction_Score"/>
    <tableColumn id="29" name="Attrition_Risk"/>
    <tableColumn id="30" name="Team_Size"/>
    <tableColumn id="31" name="Recruitment_Source"/>
    <tableColumn id="32" name="Monthly_CTC"/>
    <tableColumn id="33" name="Annual_Cost"/>
    <tableColumn id="34" name="Tenure_Years"/>
    <tableColumn id="35" name="Age_Group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10" customWidth="1" min="6" max="6"/>
    <col width="8" customWidth="1" min="7" max="7"/>
    <col width="14" customWidth="1" min="8" max="8"/>
    <col width="14" customWidth="1" min="9" max="9"/>
    <col width="12" customWidth="1" min="10" max="10"/>
    <col width="10" customWidth="1" min="11" max="11"/>
    <col width="16" customWidth="1" min="12" max="12"/>
    <col width="16" customWidth="1" min="13" max="13"/>
    <col width="14" customWidth="1" min="14" max="14"/>
    <col width="18" customWidth="1" min="15" max="15"/>
    <col width="14" customWidth="1" min="16" max="16"/>
    <col width="16" customWidth="1" min="17" max="17"/>
    <col width="12" customWidth="1" min="18" max="18"/>
    <col width="14" customWidth="1" min="19" max="19"/>
    <col width="16" customWidth="1" min="20" max="20"/>
    <col width="28" customWidth="1" min="21" max="21"/>
    <col width="18" customWidth="1" min="22" max="22"/>
    <col width="16" customWidth="1" min="23" max="23"/>
    <col width="12" customWidth="1" min="24" max="24"/>
    <col width="12" customWidth="1" min="25" max="25"/>
    <col width="12" customWidth="1" min="26" max="26"/>
    <col width="12" customWidth="1" min="27" max="27"/>
    <col width="18" customWidth="1" min="28" max="28"/>
    <col width="18" customWidth="1" min="29" max="29"/>
    <col width="16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</cols>
  <sheetData>
    <row r="1">
      <c r="A1" s="1" t="inlineStr">
        <is>
          <t>Pandas Interview Practice Dataset</t>
        </is>
      </c>
    </row>
    <row r="3">
      <c r="A3" s="2" t="inlineStr">
        <is>
          <t>Emp_ID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Job_Role</t>
        </is>
      </c>
      <c r="E3" s="2" t="inlineStr">
        <is>
          <t>City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Experience_Years</t>
        </is>
      </c>
      <c r="I3" s="2" t="inlineStr">
        <is>
          <t>Join_Date</t>
        </is>
      </c>
      <c r="J3" s="2" t="inlineStr">
        <is>
          <t>Salary</t>
        </is>
      </c>
      <c r="K3" s="2" t="inlineStr">
        <is>
          <t>Bonus</t>
        </is>
      </c>
      <c r="L3" s="2" t="inlineStr">
        <is>
          <t>Performance_Score</t>
        </is>
      </c>
      <c r="M3" s="2" t="inlineStr">
        <is>
          <t>Projects_Handled</t>
        </is>
      </c>
      <c r="N3" s="2" t="inlineStr">
        <is>
          <t>Training_Hours</t>
        </is>
      </c>
      <c r="O3" s="2" t="inlineStr">
        <is>
          <t>Last_Promotion_Date</t>
        </is>
      </c>
      <c r="P3" s="2" t="inlineStr">
        <is>
          <t>Manager</t>
        </is>
      </c>
      <c r="Q3" s="2" t="inlineStr">
        <is>
          <t>Employment_Type</t>
        </is>
      </c>
      <c r="R3" s="2" t="inlineStr">
        <is>
          <t>Work_Mode</t>
        </is>
      </c>
      <c r="S3" s="2" t="inlineStr">
        <is>
          <t>Education</t>
        </is>
      </c>
      <c r="T3" s="2" t="inlineStr">
        <is>
          <t>University</t>
        </is>
      </c>
      <c r="U3" s="2" t="inlineStr">
        <is>
          <t>Skills</t>
        </is>
      </c>
      <c r="V3" s="2" t="inlineStr">
        <is>
          <t>Certification_Count</t>
        </is>
      </c>
      <c r="W3" s="2" t="inlineStr">
        <is>
          <t>Overtime_Hours</t>
        </is>
      </c>
      <c r="X3" s="2" t="inlineStr">
        <is>
          <t>Leaves_Taken</t>
        </is>
      </c>
      <c r="Y3" s="2" t="inlineStr">
        <is>
          <t>Sick_Leaves</t>
        </is>
      </c>
      <c r="Z3" s="2" t="inlineStr">
        <is>
          <t>Resigned</t>
        </is>
      </c>
      <c r="AA3" s="2" t="inlineStr">
        <is>
          <t>Exit_Date</t>
        </is>
      </c>
      <c r="AB3" s="2" t="inlineStr">
        <is>
          <t>Satisfaction_Score</t>
        </is>
      </c>
      <c r="AC3" s="2" t="inlineStr">
        <is>
          <t>Attrition_Risk</t>
        </is>
      </c>
      <c r="AD3" s="2" t="inlineStr">
        <is>
          <t>Team_Size</t>
        </is>
      </c>
      <c r="AE3" s="2" t="inlineStr">
        <is>
          <t>Recruitment_Source</t>
        </is>
      </c>
      <c r="AF3" s="3" t="inlineStr">
        <is>
          <t>Monthly_CTC</t>
        </is>
      </c>
      <c r="AG3" s="3" t="inlineStr">
        <is>
          <t>Annual_Cost</t>
        </is>
      </c>
      <c r="AH3" s="3" t="inlineStr">
        <is>
          <t>Tenure_Years</t>
        </is>
      </c>
      <c r="AI3" s="3" t="inlineStr">
        <is>
          <t>Age_Group</t>
        </is>
      </c>
      <c r="AJ3" s="2" t="inlineStr">
        <is>
          <t>Age_Group</t>
        </is>
      </c>
    </row>
    <row r="4">
      <c r="A4" t="n">
        <v>101</v>
      </c>
      <c r="B4" t="inlineStr">
        <is>
          <t>Aarav Sharma</t>
        </is>
      </c>
      <c r="C4" t="inlineStr">
        <is>
          <t>Engineering</t>
        </is>
      </c>
      <c r="D4" t="inlineStr">
        <is>
          <t>Backend Developer</t>
        </is>
      </c>
      <c r="E4" t="inlineStr">
        <is>
          <t>Kathmandu</t>
        </is>
      </c>
      <c r="F4" t="inlineStr">
        <is>
          <t>Male</t>
        </is>
      </c>
      <c r="G4" t="n">
        <v>24</v>
      </c>
      <c r="H4" t="n">
        <v>1.5</v>
      </c>
      <c r="I4" t="inlineStr">
        <is>
          <t>2023-09-15</t>
        </is>
      </c>
      <c r="J4" s="4" t="n">
        <v>45000</v>
      </c>
      <c r="K4" s="4" t="n">
        <v>5000</v>
      </c>
      <c r="L4" s="5" t="n">
        <v>4.2</v>
      </c>
      <c r="M4" t="n">
        <v>3</v>
      </c>
      <c r="N4" t="n">
        <v>20</v>
      </c>
      <c r="O4" t="inlineStr"/>
      <c r="P4" t="inlineStr">
        <is>
          <t>Ramesh</t>
        </is>
      </c>
      <c r="Q4" t="inlineStr">
        <is>
          <t>Full-Time</t>
        </is>
      </c>
      <c r="R4" t="inlineStr">
        <is>
          <t>Hybrid</t>
        </is>
      </c>
      <c r="S4" t="inlineStr">
        <is>
          <t>BSc CSIT</t>
        </is>
      </c>
      <c r="T4" t="inlineStr">
        <is>
          <t>TU</t>
        </is>
      </c>
      <c r="U4" t="inlineStr">
        <is>
          <t>Python,SQL,Django</t>
        </is>
      </c>
      <c r="V4" t="n">
        <v>2</v>
      </c>
      <c r="W4" t="n">
        <v>10</v>
      </c>
      <c r="X4" t="n">
        <v>4</v>
      </c>
      <c r="Y4" t="n">
        <v>1</v>
      </c>
      <c r="Z4" t="inlineStr">
        <is>
          <t>No</t>
        </is>
      </c>
      <c r="AA4" t="inlineStr"/>
      <c r="AB4" t="n">
        <v>4.1</v>
      </c>
      <c r="AC4" t="inlineStr">
        <is>
          <t>Low</t>
        </is>
      </c>
      <c r="AD4" t="n">
        <v>6</v>
      </c>
      <c r="AE4" t="inlineStr">
        <is>
          <t>LinkedIn</t>
        </is>
      </c>
      <c r="AF4" s="4">
        <f>J4+K4</f>
        <v/>
      </c>
      <c r="AG4" s="4">
        <f>AF4*12</f>
        <v/>
      </c>
      <c r="AH4" s="5">
        <f>ROUND(YEARFRAC(I4,TODAY()),1)</f>
        <v/>
      </c>
      <c r="AI4">
        <f>IF(G4&lt;=25,"18-25",IF(G4&lt;=35,"26-35","36+"))</f>
        <v/>
      </c>
    </row>
    <row r="5">
      <c r="A5" t="n">
        <v>102</v>
      </c>
      <c r="B5" t="inlineStr">
        <is>
          <t>Maya Rai</t>
        </is>
      </c>
      <c r="C5" t="inlineStr">
        <is>
          <t>Engineering</t>
        </is>
      </c>
      <c r="D5" t="inlineStr">
        <is>
          <t>Frontend Developer</t>
        </is>
      </c>
      <c r="E5" t="inlineStr">
        <is>
          <t>Pokhara</t>
        </is>
      </c>
      <c r="F5" t="inlineStr">
        <is>
          <t>Female</t>
        </is>
      </c>
      <c r="G5" t="n">
        <v>27</v>
      </c>
      <c r="H5" t="n">
        <v>3</v>
      </c>
      <c r="I5" t="inlineStr">
        <is>
          <t>2022-01-10</t>
        </is>
      </c>
      <c r="J5" s="4" t="n">
        <v>60000</v>
      </c>
      <c r="K5" s="4" t="n">
        <v>8000</v>
      </c>
      <c r="L5" s="5" t="n">
        <v>4.5</v>
      </c>
      <c r="M5" t="n">
        <v>5</v>
      </c>
      <c r="N5" t="n">
        <v>35</v>
      </c>
      <c r="O5" t="inlineStr">
        <is>
          <t>2024-06-01</t>
        </is>
      </c>
      <c r="P5" t="inlineStr">
        <is>
          <t>Ramesh</t>
        </is>
      </c>
      <c r="Q5" t="inlineStr">
        <is>
          <t>Full-Time</t>
        </is>
      </c>
      <c r="R5" t="inlineStr">
        <is>
          <t>Remote</t>
        </is>
      </c>
      <c r="S5" t="inlineStr">
        <is>
          <t>BCA</t>
        </is>
      </c>
      <c r="T5" t="inlineStr">
        <is>
          <t>PU</t>
        </is>
      </c>
      <c r="U5" t="inlineStr">
        <is>
          <t>JavaScript,React,HTML,CSS</t>
        </is>
      </c>
      <c r="V5" t="n">
        <v>3</v>
      </c>
      <c r="W5" t="n">
        <v>8</v>
      </c>
      <c r="X5" t="n">
        <v>6</v>
      </c>
      <c r="Y5" t="n">
        <v>0</v>
      </c>
      <c r="Z5" t="inlineStr">
        <is>
          <t>No</t>
        </is>
      </c>
      <c r="AA5" t="inlineStr"/>
      <c r="AB5" t="n">
        <v>4.4</v>
      </c>
      <c r="AC5" t="inlineStr">
        <is>
          <t>Low</t>
        </is>
      </c>
      <c r="AD5" t="n">
        <v>5</v>
      </c>
      <c r="AE5" t="inlineStr">
        <is>
          <t>Referral</t>
        </is>
      </c>
      <c r="AF5" s="4">
        <f>J5+K5</f>
        <v/>
      </c>
      <c r="AG5" s="4">
        <f>AF5*12</f>
        <v/>
      </c>
      <c r="AH5" s="5">
        <f>ROUND(YEARFRAC(I5,TODAY()),1)</f>
        <v/>
      </c>
      <c r="AI5">
        <f>IF(G5&lt;=25,"18-25",IF(G5&lt;=35,"26-35","36+"))</f>
        <v/>
      </c>
    </row>
    <row r="6">
      <c r="A6" t="n">
        <v>103</v>
      </c>
      <c r="B6" t="inlineStr">
        <is>
          <t>Rohan Karki</t>
        </is>
      </c>
      <c r="C6" t="inlineStr">
        <is>
          <t>Data</t>
        </is>
      </c>
      <c r="D6" t="inlineStr">
        <is>
          <t>Data Analyst</t>
        </is>
      </c>
      <c r="E6" t="inlineStr">
        <is>
          <t>Kathmandu</t>
        </is>
      </c>
      <c r="F6" t="inlineStr">
        <is>
          <t>Male</t>
        </is>
      </c>
      <c r="G6" t="n">
        <v>25</v>
      </c>
      <c r="H6" t="n">
        <v>2.2</v>
      </c>
      <c r="I6" t="inlineStr">
        <is>
          <t>2023-03-20</t>
        </is>
      </c>
      <c r="J6" s="4" t="n">
        <v>55000</v>
      </c>
      <c r="K6" s="4" t="n">
        <v>6000</v>
      </c>
      <c r="L6" s="5" t="n">
        <v>3.8</v>
      </c>
      <c r="M6" t="n">
        <v>4</v>
      </c>
      <c r="N6" t="n">
        <v>28</v>
      </c>
      <c r="O6" t="inlineStr"/>
      <c r="P6" t="inlineStr">
        <is>
          <t>Sita</t>
        </is>
      </c>
      <c r="Q6" t="inlineStr">
        <is>
          <t>Full-Time</t>
        </is>
      </c>
      <c r="R6" t="inlineStr">
        <is>
          <t>Onsite</t>
        </is>
      </c>
      <c r="S6" t="inlineStr">
        <is>
          <t>BSc CSIT</t>
        </is>
      </c>
      <c r="T6" t="inlineStr">
        <is>
          <t>TU</t>
        </is>
      </c>
      <c r="U6" t="inlineStr">
        <is>
          <t>Python,SQL,Excel,PowerBI</t>
        </is>
      </c>
      <c r="V6" t="n">
        <v>1</v>
      </c>
      <c r="W6" t="n">
        <v>12</v>
      </c>
      <c r="X6" t="n">
        <v>8</v>
      </c>
      <c r="Y6" t="n">
        <v>2</v>
      </c>
      <c r="Z6" t="inlineStr">
        <is>
          <t>No</t>
        </is>
      </c>
      <c r="AA6" t="inlineStr"/>
      <c r="AB6" t="n">
        <v>3.7</v>
      </c>
      <c r="AC6" t="inlineStr">
        <is>
          <t>Medium</t>
        </is>
      </c>
      <c r="AD6" t="n">
        <v>4</v>
      </c>
      <c r="AE6" t="inlineStr">
        <is>
          <t>LinkedIn</t>
        </is>
      </c>
      <c r="AF6" s="4">
        <f>J6+K6</f>
        <v/>
      </c>
      <c r="AG6" s="4">
        <f>AF6*12</f>
        <v/>
      </c>
      <c r="AH6" s="5">
        <f>ROUND(YEARFRAC(I6,TODAY()),1)</f>
        <v/>
      </c>
      <c r="AI6">
        <f>IF(G6&lt;=25,"18-25",IF(G6&lt;=35,"26-35","36+"))</f>
        <v/>
      </c>
    </row>
    <row r="7">
      <c r="A7" t="n">
        <v>104</v>
      </c>
      <c r="B7" t="inlineStr">
        <is>
          <t>Sneha Thapa</t>
        </is>
      </c>
      <c r="C7" t="inlineStr">
        <is>
          <t>HR</t>
        </is>
      </c>
      <c r="D7" t="inlineStr">
        <is>
          <t>HR Executive</t>
        </is>
      </c>
      <c r="E7" t="inlineStr">
        <is>
          <t>Butwal</t>
        </is>
      </c>
      <c r="F7" t="inlineStr">
        <is>
          <t>Female</t>
        </is>
      </c>
      <c r="G7" t="n">
        <v>29</v>
      </c>
      <c r="H7" t="n">
        <v>4.5</v>
      </c>
      <c r="I7" t="inlineStr">
        <is>
          <t>2021-07-01</t>
        </is>
      </c>
      <c r="J7" s="4" t="n">
        <v>50000</v>
      </c>
      <c r="K7" s="4" t="n">
        <v>7000</v>
      </c>
      <c r="L7" s="5" t="n">
        <v>4</v>
      </c>
      <c r="M7" t="n">
        <v>2</v>
      </c>
      <c r="N7" t="n">
        <v>18</v>
      </c>
      <c r="O7" t="inlineStr">
        <is>
          <t>2023-12-15</t>
        </is>
      </c>
      <c r="P7" t="inlineStr">
        <is>
          <t>Anita</t>
        </is>
      </c>
      <c r="Q7" t="inlineStr">
        <is>
          <t>Full-Time</t>
        </is>
      </c>
      <c r="R7" t="inlineStr">
        <is>
          <t>Onsite</t>
        </is>
      </c>
      <c r="S7" t="inlineStr">
        <is>
          <t>MBA</t>
        </is>
      </c>
      <c r="T7" t="inlineStr">
        <is>
          <t>KU</t>
        </is>
      </c>
      <c r="U7" t="inlineStr">
        <is>
          <t>Communication,Recruitment,Excel</t>
        </is>
      </c>
      <c r="V7" t="n">
        <v>2</v>
      </c>
      <c r="W7" t="n">
        <v>5</v>
      </c>
      <c r="X7" t="n">
        <v>10</v>
      </c>
      <c r="Y7" t="n">
        <v>1</v>
      </c>
      <c r="Z7" t="inlineStr">
        <is>
          <t>No</t>
        </is>
      </c>
      <c r="AA7" t="inlineStr"/>
      <c r="AB7" t="n">
        <v>4</v>
      </c>
      <c r="AC7" t="inlineStr">
        <is>
          <t>Low</t>
        </is>
      </c>
      <c r="AD7" t="n">
        <v>3</v>
      </c>
      <c r="AE7" t="inlineStr">
        <is>
          <t>Job Portal</t>
        </is>
      </c>
      <c r="AF7" s="4">
        <f>J7+K7</f>
        <v/>
      </c>
      <c r="AG7" s="4">
        <f>AF7*12</f>
        <v/>
      </c>
      <c r="AH7" s="5">
        <f>ROUND(YEARFRAC(I7,TODAY()),1)</f>
        <v/>
      </c>
      <c r="AI7">
        <f>IF(G7&lt;=25,"18-25",IF(G7&lt;=35,"26-35","36+"))</f>
        <v/>
      </c>
    </row>
    <row r="8">
      <c r="A8" t="n">
        <v>105</v>
      </c>
      <c r="B8" t="inlineStr">
        <is>
          <t>Prakash Bista</t>
        </is>
      </c>
      <c r="C8" t="inlineStr">
        <is>
          <t>Engineering</t>
        </is>
      </c>
      <c r="D8" t="inlineStr">
        <is>
          <t>QA Engineer</t>
        </is>
      </c>
      <c r="E8" t="inlineStr">
        <is>
          <t>Kathmandu</t>
        </is>
      </c>
      <c r="F8" t="inlineStr">
        <is>
          <t>Male</t>
        </is>
      </c>
      <c r="G8" t="n">
        <v>31</v>
      </c>
      <c r="H8" t="n">
        <v>5.5</v>
      </c>
      <c r="I8" t="inlineStr">
        <is>
          <t>2020-05-12</t>
        </is>
      </c>
      <c r="J8" s="4" t="n">
        <v>70000</v>
      </c>
      <c r="K8" s="4" t="n">
        <v>10000</v>
      </c>
      <c r="L8" s="5" t="n">
        <v>4.6</v>
      </c>
      <c r="M8" t="n">
        <v>6</v>
      </c>
      <c r="N8" t="n">
        <v>40</v>
      </c>
      <c r="O8" t="inlineStr">
        <is>
          <t>2024-03-10</t>
        </is>
      </c>
      <c r="P8" t="inlineStr">
        <is>
          <t>Ramesh</t>
        </is>
      </c>
      <c r="Q8" t="inlineStr">
        <is>
          <t>Full-Time</t>
        </is>
      </c>
      <c r="R8" t="inlineStr">
        <is>
          <t>Hybrid</t>
        </is>
      </c>
      <c r="S8" t="inlineStr">
        <is>
          <t>B.E.</t>
        </is>
      </c>
      <c r="T8" t="inlineStr">
        <is>
          <t>TU</t>
        </is>
      </c>
      <c r="U8" t="inlineStr">
        <is>
          <t>Testing,Selenium,Java,API</t>
        </is>
      </c>
      <c r="V8" t="n">
        <v>4</v>
      </c>
      <c r="W8" t="n">
        <v>15</v>
      </c>
      <c r="X8" t="n">
        <v>5</v>
      </c>
      <c r="Y8" t="n">
        <v>1</v>
      </c>
      <c r="Z8" t="inlineStr">
        <is>
          <t>No</t>
        </is>
      </c>
      <c r="AA8" t="inlineStr"/>
      <c r="AB8" t="n">
        <v>4.5</v>
      </c>
      <c r="AC8" t="inlineStr">
        <is>
          <t>Low</t>
        </is>
      </c>
      <c r="AD8" t="n">
        <v>7</v>
      </c>
      <c r="AE8" t="inlineStr">
        <is>
          <t>Referral</t>
        </is>
      </c>
      <c r="AF8" s="4">
        <f>J8+K8</f>
        <v/>
      </c>
      <c r="AG8" s="4">
        <f>AF8*12</f>
        <v/>
      </c>
      <c r="AH8" s="5">
        <f>ROUND(YEARFRAC(I8,TODAY()),1)</f>
        <v/>
      </c>
      <c r="AI8">
        <f>IF(G8&lt;=25,"18-25",IF(G8&lt;=35,"26-35","36+"))</f>
        <v/>
      </c>
    </row>
    <row r="9">
      <c r="A9" t="n">
        <v>106</v>
      </c>
      <c r="B9" t="inlineStr">
        <is>
          <t>Anjali Gurung</t>
        </is>
      </c>
      <c r="C9" t="inlineStr">
        <is>
          <t>Support</t>
        </is>
      </c>
      <c r="D9" t="inlineStr">
        <is>
          <t>Customer Support</t>
        </is>
      </c>
      <c r="E9" t="inlineStr">
        <is>
          <t>Pokhara</t>
        </is>
      </c>
      <c r="F9" t="inlineStr">
        <is>
          <t>Female</t>
        </is>
      </c>
      <c r="G9" t="n">
        <v>23</v>
      </c>
      <c r="H9" t="n">
        <v>1</v>
      </c>
      <c r="I9" t="inlineStr">
        <is>
          <t>2024-02-05</t>
        </is>
      </c>
      <c r="J9" s="4" t="n">
        <v>32000</v>
      </c>
      <c r="K9" s="4" t="n">
        <v>3000</v>
      </c>
      <c r="L9" s="5" t="n">
        <v>3.2</v>
      </c>
      <c r="M9" t="n">
        <v>2</v>
      </c>
      <c r="N9" t="n">
        <v>12</v>
      </c>
      <c r="O9" t="inlineStr"/>
      <c r="P9" t="inlineStr">
        <is>
          <t>Kiran</t>
        </is>
      </c>
      <c r="Q9" t="inlineStr">
        <is>
          <t>Contract</t>
        </is>
      </c>
      <c r="R9" t="inlineStr">
        <is>
          <t>Onsite</t>
        </is>
      </c>
      <c r="S9" t="inlineStr">
        <is>
          <t>+2</t>
        </is>
      </c>
      <c r="T9" t="inlineStr">
        <is>
          <t>NEB</t>
        </is>
      </c>
      <c r="U9" t="inlineStr">
        <is>
          <t>Communication,CRM,Typing</t>
        </is>
      </c>
      <c r="V9" t="n">
        <v>0</v>
      </c>
      <c r="W9" t="n">
        <v>20</v>
      </c>
      <c r="X9" t="n">
        <v>12</v>
      </c>
      <c r="Y9" t="n">
        <v>3</v>
      </c>
      <c r="Z9" t="inlineStr">
        <is>
          <t>Yes</t>
        </is>
      </c>
      <c r="AA9" t="inlineStr">
        <is>
          <t>2025-12-20</t>
        </is>
      </c>
      <c r="AB9" t="n">
        <v>2.9</v>
      </c>
      <c r="AC9" t="inlineStr">
        <is>
          <t>High</t>
        </is>
      </c>
      <c r="AD9" t="n">
        <v>8</v>
      </c>
      <c r="AE9" t="inlineStr">
        <is>
          <t>Walk-In</t>
        </is>
      </c>
      <c r="AF9" s="4">
        <f>J9+K9</f>
        <v/>
      </c>
      <c r="AG9" s="4">
        <f>AF9*12</f>
        <v/>
      </c>
      <c r="AH9" s="5">
        <f>ROUND(YEARFRAC(I9,TODAY()),1)</f>
        <v/>
      </c>
      <c r="AI9">
        <f>IF(G9&lt;=25,"18-25",IF(G9&lt;=35,"26-35","36+"))</f>
        <v/>
      </c>
    </row>
    <row r="10">
      <c r="A10" t="n">
        <v>107</v>
      </c>
      <c r="B10" t="inlineStr">
        <is>
          <t>Bibek Lama</t>
        </is>
      </c>
      <c r="C10" t="inlineStr">
        <is>
          <t>Engineering</t>
        </is>
      </c>
      <c r="D10" t="inlineStr">
        <is>
          <t>DevOps Engineer</t>
        </is>
      </c>
      <c r="E10" t="inlineStr">
        <is>
          <t>Kathmandu</t>
        </is>
      </c>
      <c r="F10" t="inlineStr">
        <is>
          <t>Male</t>
        </is>
      </c>
      <c r="G10" t="n">
        <v>28</v>
      </c>
      <c r="H10" t="n">
        <v>4</v>
      </c>
      <c r="I10" t="inlineStr">
        <is>
          <t>2021-11-22</t>
        </is>
      </c>
      <c r="J10" s="4" t="n">
        <v>75000</v>
      </c>
      <c r="K10" s="4" t="n">
        <v>12000</v>
      </c>
      <c r="L10" s="5" t="n">
        <v>4.7</v>
      </c>
      <c r="M10" t="n">
        <v>5</v>
      </c>
      <c r="N10" t="n">
        <v>45</v>
      </c>
      <c r="O10" t="inlineStr">
        <is>
          <t>2024-08-05</t>
        </is>
      </c>
      <c r="P10" t="inlineStr">
        <is>
          <t>Ramesh</t>
        </is>
      </c>
      <c r="Q10" t="inlineStr">
        <is>
          <t>Full-Time</t>
        </is>
      </c>
      <c r="R10" t="inlineStr">
        <is>
          <t>Hybrid</t>
        </is>
      </c>
      <c r="S10" t="inlineStr">
        <is>
          <t>BSc CSIT</t>
        </is>
      </c>
      <c r="T10" t="inlineStr">
        <is>
          <t>TU</t>
        </is>
      </c>
      <c r="U10" t="inlineStr">
        <is>
          <t>AWS,Docker,Linux,Python</t>
        </is>
      </c>
      <c r="V10" t="n">
        <v>3</v>
      </c>
      <c r="W10" t="n">
        <v>18</v>
      </c>
      <c r="X10" t="n">
        <v>4</v>
      </c>
      <c r="Y10" t="n">
        <v>0</v>
      </c>
      <c r="Z10" t="inlineStr">
        <is>
          <t>No</t>
        </is>
      </c>
      <c r="AA10" t="inlineStr"/>
      <c r="AB10" t="n">
        <v>4.6</v>
      </c>
      <c r="AC10" t="inlineStr">
        <is>
          <t>Low</t>
        </is>
      </c>
      <c r="AD10" t="n">
        <v>6</v>
      </c>
      <c r="AE10" t="inlineStr">
        <is>
          <t>LinkedIn</t>
        </is>
      </c>
      <c r="AF10" s="4">
        <f>J10+K10</f>
        <v/>
      </c>
      <c r="AG10" s="4">
        <f>AF10*12</f>
        <v/>
      </c>
      <c r="AH10" s="5">
        <f>ROUND(YEARFRAC(I10,TODAY()),1)</f>
        <v/>
      </c>
      <c r="AI10">
        <f>IF(G10&lt;=25,"18-25",IF(G10&lt;=35,"26-35","36+"))</f>
        <v/>
      </c>
    </row>
    <row r="11">
      <c r="A11" t="n">
        <v>108</v>
      </c>
      <c r="B11" t="inlineStr">
        <is>
          <t>Nisha Adhikari</t>
        </is>
      </c>
      <c r="C11" t="inlineStr">
        <is>
          <t>Data</t>
        </is>
      </c>
      <c r="D11" t="inlineStr">
        <is>
          <t>Data Scientist</t>
        </is>
      </c>
      <c r="E11" t="inlineStr">
        <is>
          <t>Dharan</t>
        </is>
      </c>
      <c r="F11" t="inlineStr">
        <is>
          <t>Female</t>
        </is>
      </c>
      <c r="G11" t="n">
        <v>30</v>
      </c>
      <c r="H11" t="n">
        <v>6</v>
      </c>
      <c r="I11" t="inlineStr">
        <is>
          <t>2019-04-18</t>
        </is>
      </c>
      <c r="J11" s="4" t="n">
        <v>95000</v>
      </c>
      <c r="K11" s="4" t="n">
        <v>15000</v>
      </c>
      <c r="L11" s="5" t="n">
        <v>4.8</v>
      </c>
      <c r="M11" t="n">
        <v>7</v>
      </c>
      <c r="N11" t="n">
        <v>50</v>
      </c>
      <c r="O11" t="inlineStr">
        <is>
          <t>2023-11-30</t>
        </is>
      </c>
      <c r="P11" t="inlineStr">
        <is>
          <t>Sita</t>
        </is>
      </c>
      <c r="Q11" t="inlineStr">
        <is>
          <t>Full-Time</t>
        </is>
      </c>
      <c r="R11" t="inlineStr">
        <is>
          <t>Remote</t>
        </is>
      </c>
      <c r="S11" t="inlineStr">
        <is>
          <t>MSc IT</t>
        </is>
      </c>
      <c r="T11" t="inlineStr">
        <is>
          <t>PU</t>
        </is>
      </c>
      <c r="U11" t="inlineStr">
        <is>
          <t>Python,ML,Statistics,SQL</t>
        </is>
      </c>
      <c r="V11" t="n">
        <v>5</v>
      </c>
      <c r="W11" t="n">
        <v>14</v>
      </c>
      <c r="X11" t="n">
        <v>7</v>
      </c>
      <c r="Y11" t="n">
        <v>1</v>
      </c>
      <c r="Z11" t="inlineStr">
        <is>
          <t>No</t>
        </is>
      </c>
      <c r="AA11" t="inlineStr"/>
      <c r="AB11" t="n">
        <v>4.7</v>
      </c>
      <c r="AC11" t="inlineStr">
        <is>
          <t>Low</t>
        </is>
      </c>
      <c r="AD11" t="n">
        <v>5</v>
      </c>
      <c r="AE11" t="inlineStr">
        <is>
          <t>LinkedIn</t>
        </is>
      </c>
      <c r="AF11" s="4">
        <f>J11+K11</f>
        <v/>
      </c>
      <c r="AG11" s="4">
        <f>AF11*12</f>
        <v/>
      </c>
      <c r="AH11" s="5">
        <f>ROUND(YEARFRAC(I11,TODAY()),1)</f>
        <v/>
      </c>
      <c r="AI11">
        <f>IF(G11&lt;=25,"18-25",IF(G11&lt;=35,"26-35","36+"))</f>
        <v/>
      </c>
    </row>
    <row r="12">
      <c r="A12" t="n">
        <v>109</v>
      </c>
      <c r="B12" t="inlineStr">
        <is>
          <t>Suman KC</t>
        </is>
      </c>
      <c r="C12" t="inlineStr">
        <is>
          <t>Finance</t>
        </is>
      </c>
      <c r="D12" t="inlineStr">
        <is>
          <t>Accountant</t>
        </is>
      </c>
      <c r="E12" t="inlineStr">
        <is>
          <t>Butwal</t>
        </is>
      </c>
      <c r="F12" t="inlineStr">
        <is>
          <t>Male</t>
        </is>
      </c>
      <c r="G12" t="n">
        <v>26</v>
      </c>
      <c r="H12" t="n">
        <v>2.5</v>
      </c>
      <c r="I12" t="inlineStr">
        <is>
          <t>2022-06-14</t>
        </is>
      </c>
      <c r="J12" s="4" t="n">
        <v>48000</v>
      </c>
      <c r="K12" s="4" t="n">
        <v>4000</v>
      </c>
      <c r="L12" s="5" t="n">
        <v>3.5</v>
      </c>
      <c r="M12" t="n">
        <v>3</v>
      </c>
      <c r="N12" t="n">
        <v>16</v>
      </c>
      <c r="O12" t="inlineStr"/>
      <c r="P12" t="inlineStr">
        <is>
          <t>Anita</t>
        </is>
      </c>
      <c r="Q12" t="inlineStr">
        <is>
          <t>Full-Time</t>
        </is>
      </c>
      <c r="R12" t="inlineStr">
        <is>
          <t>Onsite</t>
        </is>
      </c>
      <c r="S12" t="inlineStr">
        <is>
          <t>BBS</t>
        </is>
      </c>
      <c r="T12" t="inlineStr">
        <is>
          <t>TU</t>
        </is>
      </c>
      <c r="U12" t="inlineStr">
        <is>
          <t>Excel,Tally,Accounting</t>
        </is>
      </c>
      <c r="V12" t="n">
        <v>1</v>
      </c>
      <c r="W12" t="n">
        <v>6</v>
      </c>
      <c r="X12" t="n">
        <v>9</v>
      </c>
      <c r="Y12" t="n">
        <v>2</v>
      </c>
      <c r="Z12" t="inlineStr">
        <is>
          <t>No</t>
        </is>
      </c>
      <c r="AA12" t="inlineStr"/>
      <c r="AB12" t="n">
        <v>3.6</v>
      </c>
      <c r="AC12" t="inlineStr">
        <is>
          <t>Medium</t>
        </is>
      </c>
      <c r="AD12" t="n">
        <v>4</v>
      </c>
      <c r="AE12" t="inlineStr">
        <is>
          <t>Job Portal</t>
        </is>
      </c>
      <c r="AF12" s="4">
        <f>J12+K12</f>
        <v/>
      </c>
      <c r="AG12" s="4">
        <f>AF12*12</f>
        <v/>
      </c>
      <c r="AH12" s="5">
        <f>ROUND(YEARFRAC(I12,TODAY()),1)</f>
        <v/>
      </c>
      <c r="AI12">
        <f>IF(G12&lt;=25,"18-25",IF(G12&lt;=35,"26-35","36+"))</f>
        <v/>
      </c>
    </row>
    <row r="13">
      <c r="A13" t="n">
        <v>110</v>
      </c>
      <c r="B13" t="inlineStr">
        <is>
          <t>Pooja Joshi</t>
        </is>
      </c>
      <c r="C13" t="inlineStr">
        <is>
          <t>Engineering</t>
        </is>
      </c>
      <c r="D13" t="inlineStr">
        <is>
          <t>Mobile Developer</t>
        </is>
      </c>
      <c r="E13" t="inlineStr">
        <is>
          <t>Kathmandu</t>
        </is>
      </c>
      <c r="F13" t="inlineStr">
        <is>
          <t>Female</t>
        </is>
      </c>
      <c r="G13" t="n">
        <v>27</v>
      </c>
      <c r="H13" t="n">
        <v>3.8</v>
      </c>
      <c r="I13" t="inlineStr">
        <is>
          <t>2021-09-09</t>
        </is>
      </c>
      <c r="J13" s="4" t="n">
        <v>68000</v>
      </c>
      <c r="K13" s="4" t="n">
        <v>9000</v>
      </c>
      <c r="L13" s="5" t="n">
        <v>4.3</v>
      </c>
      <c r="M13" t="n">
        <v>4</v>
      </c>
      <c r="N13" t="n">
        <v>30</v>
      </c>
      <c r="O13" t="inlineStr">
        <is>
          <t>2024-01-20</t>
        </is>
      </c>
      <c r="P13" t="inlineStr">
        <is>
          <t>Ramesh</t>
        </is>
      </c>
      <c r="Q13" t="inlineStr">
        <is>
          <t>Full-Time</t>
        </is>
      </c>
      <c r="R13" t="inlineStr">
        <is>
          <t>Hybrid</t>
        </is>
      </c>
      <c r="S13" t="inlineStr">
        <is>
          <t>BSc CSIT</t>
        </is>
      </c>
      <c r="T13" t="inlineStr">
        <is>
          <t>KU</t>
        </is>
      </c>
      <c r="U13" t="inlineStr">
        <is>
          <t>Flutter,Firebase,Dart,API</t>
        </is>
      </c>
      <c r="V13" t="n">
        <v>2</v>
      </c>
      <c r="W13" t="n">
        <v>11</v>
      </c>
      <c r="X13" t="n">
        <v>5</v>
      </c>
      <c r="Y13" t="n">
        <v>0</v>
      </c>
      <c r="Z13" t="inlineStr">
        <is>
          <t>No</t>
        </is>
      </c>
      <c r="AA13" t="inlineStr"/>
      <c r="AB13" t="n">
        <v>4.2</v>
      </c>
      <c r="AC13" t="inlineStr">
        <is>
          <t>Low</t>
        </is>
      </c>
      <c r="AD13" t="n">
        <v>5</v>
      </c>
      <c r="AE13" t="inlineStr">
        <is>
          <t>Referral</t>
        </is>
      </c>
      <c r="AF13" s="4">
        <f>J13+K13</f>
        <v/>
      </c>
      <c r="AG13" s="4">
        <f>AF13*12</f>
        <v/>
      </c>
      <c r="AH13" s="5">
        <f>ROUND(YEARFRAC(I13,TODAY()),1)</f>
        <v/>
      </c>
      <c r="AI13">
        <f>IF(G13&lt;=25,"18-25",IF(G13&lt;=35,"26-35","36+"))</f>
        <v/>
      </c>
    </row>
    <row r="14">
      <c r="A14" t="n">
        <v>111</v>
      </c>
      <c r="B14" t="inlineStr">
        <is>
          <t>Ritesh Yadav</t>
        </is>
      </c>
      <c r="C14" t="inlineStr">
        <is>
          <t>Sales</t>
        </is>
      </c>
      <c r="D14" t="inlineStr">
        <is>
          <t>Sales Executive</t>
        </is>
      </c>
      <c r="E14" t="inlineStr">
        <is>
          <t>Janakpur</t>
        </is>
      </c>
      <c r="F14" t="inlineStr">
        <is>
          <t>Male</t>
        </is>
      </c>
      <c r="G14" t="n">
        <v>32</v>
      </c>
      <c r="H14" t="n">
        <v>7</v>
      </c>
      <c r="I14" t="inlineStr">
        <is>
          <t>2018-03-11</t>
        </is>
      </c>
      <c r="J14" s="4" t="n">
        <v>52000</v>
      </c>
      <c r="K14" s="4" t="n">
        <v>18000</v>
      </c>
      <c r="L14" s="5" t="n">
        <v>4.1</v>
      </c>
      <c r="M14" t="n">
        <v>8</v>
      </c>
      <c r="N14" t="n">
        <v>10</v>
      </c>
      <c r="O14" t="inlineStr">
        <is>
          <t>2022-10-01</t>
        </is>
      </c>
      <c r="P14" t="inlineStr">
        <is>
          <t>Mina</t>
        </is>
      </c>
      <c r="Q14" t="inlineStr">
        <is>
          <t>Full-Time</t>
        </is>
      </c>
      <c r="R14" t="inlineStr">
        <is>
          <t>Onsite</t>
        </is>
      </c>
      <c r="S14" t="inlineStr">
        <is>
          <t>BBA</t>
        </is>
      </c>
      <c r="T14" t="inlineStr">
        <is>
          <t>PU</t>
        </is>
      </c>
      <c r="U14" t="inlineStr">
        <is>
          <t>Sales,Negotiation,CRM</t>
        </is>
      </c>
      <c r="V14" t="n">
        <v>2</v>
      </c>
      <c r="W14" t="n">
        <v>22</v>
      </c>
      <c r="X14" t="n">
        <v>11</v>
      </c>
      <c r="Y14" t="n">
        <v>2</v>
      </c>
      <c r="Z14" t="inlineStr">
        <is>
          <t>Yes</t>
        </is>
      </c>
      <c r="AA14" t="inlineStr">
        <is>
          <t>2025-11-15</t>
        </is>
      </c>
      <c r="AB14" t="n">
        <v>3.1</v>
      </c>
      <c r="AC14" t="inlineStr">
        <is>
          <t>High</t>
        </is>
      </c>
      <c r="AD14" t="n">
        <v>9</v>
      </c>
      <c r="AE14" t="inlineStr">
        <is>
          <t>Walk-In</t>
        </is>
      </c>
      <c r="AF14" s="4">
        <f>J14+K14</f>
        <v/>
      </c>
      <c r="AG14" s="4">
        <f>AF14*12</f>
        <v/>
      </c>
      <c r="AH14" s="5">
        <f>ROUND(YEARFRAC(I14,TODAY()),1)</f>
        <v/>
      </c>
      <c r="AI14">
        <f>IF(G14&lt;=25,"18-25",IF(G14&lt;=35,"26-35","36+"))</f>
        <v/>
      </c>
    </row>
    <row r="15">
      <c r="A15" t="n">
        <v>112</v>
      </c>
      <c r="B15" t="inlineStr">
        <is>
          <t>Kusum Chaudhary</t>
        </is>
      </c>
      <c r="C15" t="inlineStr">
        <is>
          <t>Marketing</t>
        </is>
      </c>
      <c r="D15" t="inlineStr">
        <is>
          <t>Digital Marketer</t>
        </is>
      </c>
      <c r="E15" t="inlineStr">
        <is>
          <t>Nepalgunj</t>
        </is>
      </c>
      <c r="F15" t="inlineStr">
        <is>
          <t>Female</t>
        </is>
      </c>
      <c r="G15" t="n">
        <v>24</v>
      </c>
      <c r="H15" t="n">
        <v>1.8</v>
      </c>
      <c r="I15" t="inlineStr">
        <is>
          <t>2023-05-16</t>
        </is>
      </c>
      <c r="J15" s="4" t="n">
        <v>42000</v>
      </c>
      <c r="K15" s="4" t="n">
        <v>5000</v>
      </c>
      <c r="L15" s="5" t="n">
        <v>3.9</v>
      </c>
      <c r="M15" t="n">
        <v>3</v>
      </c>
      <c r="N15" t="n">
        <v>22</v>
      </c>
      <c r="O15" t="inlineStr"/>
      <c r="P15" t="inlineStr">
        <is>
          <t>Mina</t>
        </is>
      </c>
      <c r="Q15" t="inlineStr">
        <is>
          <t>Full-Time</t>
        </is>
      </c>
      <c r="R15" t="inlineStr">
        <is>
          <t>Remote</t>
        </is>
      </c>
      <c r="S15" t="inlineStr">
        <is>
          <t>BBA</t>
        </is>
      </c>
      <c r="T15" t="inlineStr">
        <is>
          <t>TU</t>
        </is>
      </c>
      <c r="U15" t="inlineStr">
        <is>
          <t>SEO,Content,Analytics,Canva</t>
        </is>
      </c>
      <c r="V15" t="n">
        <v>1</v>
      </c>
      <c r="W15" t="n">
        <v>7</v>
      </c>
      <c r="X15" t="n">
        <v>6</v>
      </c>
      <c r="Y15" t="n">
        <v>1</v>
      </c>
      <c r="Z15" t="inlineStr">
        <is>
          <t>No</t>
        </is>
      </c>
      <c r="AA15" t="inlineStr"/>
      <c r="AB15" t="n">
        <v>3.9</v>
      </c>
      <c r="AC15" t="inlineStr">
        <is>
          <t>Medium</t>
        </is>
      </c>
      <c r="AD15" t="n">
        <v>4</v>
      </c>
      <c r="AE15" t="inlineStr">
        <is>
          <t>LinkedIn</t>
        </is>
      </c>
      <c r="AF15" s="4">
        <f>J15+K15</f>
        <v/>
      </c>
      <c r="AG15" s="4">
        <f>AF15*12</f>
        <v/>
      </c>
      <c r="AH15" s="5">
        <f>ROUND(YEARFRAC(I15,TODAY()),1)</f>
        <v/>
      </c>
      <c r="AI15">
        <f>IF(G15&lt;=25,"18-25",IF(G15&lt;=35,"26-35","36+"))</f>
        <v/>
      </c>
    </row>
    <row r="16">
      <c r="A16" t="n">
        <v>113</v>
      </c>
      <c r="B16" t="inlineStr">
        <is>
          <t>Amit Shrestha</t>
        </is>
      </c>
      <c r="C16" t="inlineStr">
        <is>
          <t>Engineering</t>
        </is>
      </c>
      <c r="D16" t="inlineStr">
        <is>
          <t>Backend Developer</t>
        </is>
      </c>
      <c r="E16" t="inlineStr">
        <is>
          <t>Kathmandu</t>
        </is>
      </c>
      <c r="F16" t="inlineStr">
        <is>
          <t>Male</t>
        </is>
      </c>
      <c r="G16" t="n">
        <v>22</v>
      </c>
      <c r="H16" t="n">
        <v>0.8</v>
      </c>
      <c r="I16" t="inlineStr">
        <is>
          <t>2024-01-08</t>
        </is>
      </c>
      <c r="J16" s="4" t="n">
        <v>40000</v>
      </c>
      <c r="K16" s="4" t="n">
        <v>3000</v>
      </c>
      <c r="L16" s="5" t="n">
        <v>3.6</v>
      </c>
      <c r="M16" t="n">
        <v>2</v>
      </c>
      <c r="N16" t="n">
        <v>25</v>
      </c>
      <c r="O16" t="inlineStr"/>
      <c r="P16" t="inlineStr">
        <is>
          <t>Ramesh</t>
        </is>
      </c>
      <c r="Q16" t="inlineStr">
        <is>
          <t>Intern</t>
        </is>
      </c>
      <c r="R16" t="inlineStr">
        <is>
          <t>Onsite</t>
        </is>
      </c>
      <c r="S16" t="inlineStr">
        <is>
          <t>BSc CSIT</t>
        </is>
      </c>
      <c r="T16" t="inlineStr">
        <is>
          <t>TU</t>
        </is>
      </c>
      <c r="U16" t="inlineStr">
        <is>
          <t>Python,Flask,Git,SQL</t>
        </is>
      </c>
      <c r="V16" t="n">
        <v>0</v>
      </c>
      <c r="W16" t="n">
        <v>9</v>
      </c>
      <c r="X16" t="n">
        <v>3</v>
      </c>
      <c r="Y16" t="n">
        <v>0</v>
      </c>
      <c r="Z16" t="inlineStr">
        <is>
          <t>No</t>
        </is>
      </c>
      <c r="AA16" t="inlineStr"/>
      <c r="AB16" t="n">
        <v>3.8</v>
      </c>
      <c r="AC16" t="inlineStr">
        <is>
          <t>Medium</t>
        </is>
      </c>
      <c r="AD16" t="n">
        <v>6</v>
      </c>
      <c r="AE16" t="inlineStr">
        <is>
          <t>Campus</t>
        </is>
      </c>
      <c r="AF16" s="4">
        <f>J16+K16</f>
        <v/>
      </c>
      <c r="AG16" s="4">
        <f>AF16*12</f>
        <v/>
      </c>
      <c r="AH16" s="5">
        <f>ROUND(YEARFRAC(I16,TODAY()),1)</f>
        <v/>
      </c>
      <c r="AI16">
        <f>IF(G16&lt;=25,"18-25",IF(G16&lt;=35,"26-35","36+"))</f>
        <v/>
      </c>
    </row>
    <row r="17">
      <c r="A17" t="n">
        <v>114</v>
      </c>
      <c r="B17" t="inlineStr">
        <is>
          <t>Sarbina Magar</t>
        </is>
      </c>
      <c r="C17" t="inlineStr">
        <is>
          <t>Design</t>
        </is>
      </c>
      <c r="D17" t="inlineStr">
        <is>
          <t>UI/UX Designer</t>
        </is>
      </c>
      <c r="E17" t="inlineStr">
        <is>
          <t>Pokhara</t>
        </is>
      </c>
      <c r="F17" t="inlineStr">
        <is>
          <t>Female</t>
        </is>
      </c>
      <c r="G17" t="n">
        <v>28</v>
      </c>
      <c r="H17" t="n">
        <v>4.2</v>
      </c>
      <c r="I17" t="inlineStr">
        <is>
          <t>2021-08-19</t>
        </is>
      </c>
      <c r="J17" s="4" t="n">
        <v>58000</v>
      </c>
      <c r="K17" s="4" t="n">
        <v>7000</v>
      </c>
      <c r="L17" s="5" t="n">
        <v>4.4</v>
      </c>
      <c r="M17" t="n">
        <v>5</v>
      </c>
      <c r="N17" t="n">
        <v>27</v>
      </c>
      <c r="O17" t="inlineStr">
        <is>
          <t>2024-07-10</t>
        </is>
      </c>
      <c r="P17" t="inlineStr">
        <is>
          <t>Kiran</t>
        </is>
      </c>
      <c r="Q17" t="inlineStr">
        <is>
          <t>Full-Time</t>
        </is>
      </c>
      <c r="R17" t="inlineStr">
        <is>
          <t>Remote</t>
        </is>
      </c>
      <c r="S17" t="inlineStr">
        <is>
          <t>BDes</t>
        </is>
      </c>
      <c r="T17" t="inlineStr">
        <is>
          <t>PU</t>
        </is>
      </c>
      <c r="U17" t="inlineStr">
        <is>
          <t>Figma,Research,Wireframing</t>
        </is>
      </c>
      <c r="V17" t="n">
        <v>2</v>
      </c>
      <c r="W17" t="n">
        <v>6</v>
      </c>
      <c r="X17" t="n">
        <v>5</v>
      </c>
      <c r="Y17" t="n">
        <v>0</v>
      </c>
      <c r="Z17" t="inlineStr">
        <is>
          <t>No</t>
        </is>
      </c>
      <c r="AA17" t="inlineStr"/>
      <c r="AB17" t="n">
        <v>4.3</v>
      </c>
      <c r="AC17" t="inlineStr">
        <is>
          <t>Low</t>
        </is>
      </c>
      <c r="AD17" t="n">
        <v>3</v>
      </c>
      <c r="AE17" t="inlineStr">
        <is>
          <t>LinkedIn</t>
        </is>
      </c>
      <c r="AF17" s="4">
        <f>J17+K17</f>
        <v/>
      </c>
      <c r="AG17" s="4">
        <f>AF17*12</f>
        <v/>
      </c>
      <c r="AH17" s="5">
        <f>ROUND(YEARFRAC(I17,TODAY()),1)</f>
        <v/>
      </c>
      <c r="AI17">
        <f>IF(G17&lt;=25,"18-25",IF(G17&lt;=35,"26-35","36+"))</f>
        <v/>
      </c>
    </row>
    <row r="18">
      <c r="A18" t="n">
        <v>115</v>
      </c>
      <c r="B18" t="inlineStr">
        <is>
          <t>Nabin Oli</t>
        </is>
      </c>
      <c r="C18" t="inlineStr">
        <is>
          <t>Support</t>
        </is>
      </c>
      <c r="D18" t="inlineStr">
        <is>
          <t>Technical Support</t>
        </is>
      </c>
      <c r="E18" t="inlineStr">
        <is>
          <t>Birgunj</t>
        </is>
      </c>
      <c r="F18" t="inlineStr">
        <is>
          <t>Male</t>
        </is>
      </c>
      <c r="G18" t="n">
        <v>35</v>
      </c>
      <c r="H18" t="n">
        <v>8</v>
      </c>
      <c r="I18" t="inlineStr">
        <is>
          <t>2017-12-01</t>
        </is>
      </c>
      <c r="J18" s="4" t="n">
        <v>47000</v>
      </c>
      <c r="K18" s="4" t="n">
        <v>6000</v>
      </c>
      <c r="L18" s="5" t="n">
        <v>3.1</v>
      </c>
      <c r="M18" t="n">
        <v>4</v>
      </c>
      <c r="N18" t="n">
        <v>15</v>
      </c>
      <c r="O18" t="inlineStr">
        <is>
          <t>2021-06-05</t>
        </is>
      </c>
      <c r="P18" t="inlineStr">
        <is>
          <t>Kiran</t>
        </is>
      </c>
      <c r="Q18" t="inlineStr">
        <is>
          <t>Full-Time</t>
        </is>
      </c>
      <c r="R18" t="inlineStr">
        <is>
          <t>Onsite</t>
        </is>
      </c>
      <c r="S18" t="inlineStr">
        <is>
          <t>BCA</t>
        </is>
      </c>
      <c r="T18" t="inlineStr">
        <is>
          <t>TU</t>
        </is>
      </c>
      <c r="U18" t="inlineStr">
        <is>
          <t>Networking,Hardware,CRM</t>
        </is>
      </c>
      <c r="V18" t="n">
        <v>1</v>
      </c>
      <c r="W18" t="n">
        <v>25</v>
      </c>
      <c r="X18" t="n">
        <v>14</v>
      </c>
      <c r="Y18" t="n">
        <v>4</v>
      </c>
      <c r="Z18" t="inlineStr">
        <is>
          <t>Yes</t>
        </is>
      </c>
      <c r="AA18" t="inlineStr">
        <is>
          <t>2025-10-05</t>
        </is>
      </c>
      <c r="AB18" t="n">
        <v>2.8</v>
      </c>
      <c r="AC18" t="inlineStr">
        <is>
          <t>High</t>
        </is>
      </c>
      <c r="AD18" t="n">
        <v>7</v>
      </c>
      <c r="AE18" t="inlineStr">
        <is>
          <t>Job Portal</t>
        </is>
      </c>
      <c r="AF18" s="4">
        <f>J18+K18</f>
        <v/>
      </c>
      <c r="AG18" s="4">
        <f>AF18*12</f>
        <v/>
      </c>
      <c r="AH18" s="5">
        <f>ROUND(YEARFRAC(I18,TODAY()),1)</f>
        <v/>
      </c>
      <c r="AI18">
        <f>IF(G18&lt;=25,"18-25",IF(G18&lt;=35,"26-35","36+"))</f>
        <v/>
      </c>
    </row>
    <row r="19">
      <c r="A19" t="n">
        <v>116</v>
      </c>
      <c r="B19" t="inlineStr">
        <is>
          <t>Alina Regmi</t>
        </is>
      </c>
      <c r="C19" t="inlineStr">
        <is>
          <t>Engineering</t>
        </is>
      </c>
      <c r="D19" t="inlineStr">
        <is>
          <t>QA Engineer</t>
        </is>
      </c>
      <c r="E19" t="inlineStr">
        <is>
          <t>Dharan</t>
        </is>
      </c>
      <c r="F19" t="inlineStr">
        <is>
          <t>Female</t>
        </is>
      </c>
      <c r="G19" t="n">
        <v>23</v>
      </c>
      <c r="H19" t="n">
        <v>1.2</v>
      </c>
      <c r="I19" t="inlineStr">
        <is>
          <t>2024-02-25</t>
        </is>
      </c>
      <c r="J19" s="4" t="n">
        <v>39000</v>
      </c>
      <c r="K19" s="4" t="n">
        <v>2500</v>
      </c>
      <c r="L19" s="5" t="n">
        <v>3.4</v>
      </c>
      <c r="M19" t="n">
        <v>2</v>
      </c>
      <c r="N19" t="n">
        <v>20</v>
      </c>
      <c r="O19" t="inlineStr"/>
      <c r="P19" t="inlineStr">
        <is>
          <t>Ramesh</t>
        </is>
      </c>
      <c r="Q19" t="inlineStr">
        <is>
          <t>Contract</t>
        </is>
      </c>
      <c r="R19" t="inlineStr">
        <is>
          <t>Hybrid</t>
        </is>
      </c>
      <c r="S19" t="inlineStr">
        <is>
          <t>BSc CSIT</t>
        </is>
      </c>
      <c r="T19" t="inlineStr">
        <is>
          <t>KU</t>
        </is>
      </c>
      <c r="U19" t="inlineStr">
        <is>
          <t>Testing,Postman,SQL</t>
        </is>
      </c>
      <c r="V19" t="n">
        <v>1</v>
      </c>
      <c r="W19" t="n">
        <v>13</v>
      </c>
      <c r="X19" t="n">
        <v>7</v>
      </c>
      <c r="Y19" t="n">
        <v>1</v>
      </c>
      <c r="Z19" t="inlineStr">
        <is>
          <t>No</t>
        </is>
      </c>
      <c r="AA19" t="inlineStr"/>
      <c r="AB19" t="n">
        <v>3.5</v>
      </c>
      <c r="AC19" t="inlineStr">
        <is>
          <t>Medium</t>
        </is>
      </c>
      <c r="AD19" t="n">
        <v>5</v>
      </c>
      <c r="AE19" t="inlineStr">
        <is>
          <t>Campus</t>
        </is>
      </c>
      <c r="AF19" s="4">
        <f>J19+K19</f>
        <v/>
      </c>
      <c r="AG19" s="4">
        <f>AF19*12</f>
        <v/>
      </c>
      <c r="AH19" s="5">
        <f>ROUND(YEARFRAC(I19,TODAY()),1)</f>
        <v/>
      </c>
      <c r="AI19">
        <f>IF(G19&lt;=25,"18-25",IF(G19&lt;=35,"26-35","36+"))</f>
        <v/>
      </c>
    </row>
    <row r="20">
      <c r="A20" t="n">
        <v>117</v>
      </c>
      <c r="B20" t="inlineStr">
        <is>
          <t>Kiran Tamang</t>
        </is>
      </c>
      <c r="C20" t="inlineStr">
        <is>
          <t>Data</t>
        </is>
      </c>
      <c r="D20" t="inlineStr">
        <is>
          <t>BI Analyst</t>
        </is>
      </c>
      <c r="E20" t="inlineStr">
        <is>
          <t>Kathmandu</t>
        </is>
      </c>
      <c r="F20" t="inlineStr">
        <is>
          <t>Male</t>
        </is>
      </c>
      <c r="G20" t="n">
        <v>29</v>
      </c>
      <c r="H20" t="n">
        <v>5</v>
      </c>
      <c r="I20" t="inlineStr">
        <is>
          <t>2020-09-17</t>
        </is>
      </c>
      <c r="J20" s="4" t="n">
        <v>72000</v>
      </c>
      <c r="K20" s="4" t="n">
        <v>11000</v>
      </c>
      <c r="L20" s="5" t="n">
        <v>4.2</v>
      </c>
      <c r="M20" t="n">
        <v>6</v>
      </c>
      <c r="N20" t="n">
        <v>33</v>
      </c>
      <c r="O20" t="inlineStr">
        <is>
          <t>2023-09-12</t>
        </is>
      </c>
      <c r="P20" t="inlineStr">
        <is>
          <t>Sita</t>
        </is>
      </c>
      <c r="Q20" t="inlineStr">
        <is>
          <t>Full-Time</t>
        </is>
      </c>
      <c r="R20" t="inlineStr">
        <is>
          <t>Hybrid</t>
        </is>
      </c>
      <c r="S20" t="inlineStr">
        <is>
          <t>MIT</t>
        </is>
      </c>
      <c r="T20" t="inlineStr">
        <is>
          <t>KU</t>
        </is>
      </c>
      <c r="U20" t="inlineStr">
        <is>
          <t>SQL,PowerBI,Excel,ETL</t>
        </is>
      </c>
      <c r="V20" t="n">
        <v>3</v>
      </c>
      <c r="W20" t="n">
        <v>10</v>
      </c>
      <c r="X20" t="n">
        <v>6</v>
      </c>
      <c r="Y20" t="n">
        <v>1</v>
      </c>
      <c r="Z20" t="inlineStr">
        <is>
          <t>No</t>
        </is>
      </c>
      <c r="AA20" t="inlineStr"/>
      <c r="AB20" t="n">
        <v>4.1</v>
      </c>
      <c r="AC20" t="inlineStr">
        <is>
          <t>Low</t>
        </is>
      </c>
      <c r="AD20" t="n">
        <v>4</v>
      </c>
      <c r="AE20" t="inlineStr">
        <is>
          <t>Referral</t>
        </is>
      </c>
      <c r="AF20" s="4">
        <f>J20+K20</f>
        <v/>
      </c>
      <c r="AG20" s="4">
        <f>AF20*12</f>
        <v/>
      </c>
      <c r="AH20" s="5">
        <f>ROUND(YEARFRAC(I20,TODAY()),1)</f>
        <v/>
      </c>
      <c r="AI20">
        <f>IF(G20&lt;=25,"18-25",IF(G20&lt;=35,"26-35","36+"))</f>
        <v/>
      </c>
    </row>
    <row r="21">
      <c r="A21" t="n">
        <v>118</v>
      </c>
      <c r="B21" t="inlineStr">
        <is>
          <t>Priya Singh</t>
        </is>
      </c>
      <c r="C21" t="inlineStr">
        <is>
          <t>HR</t>
        </is>
      </c>
      <c r="D21" t="inlineStr">
        <is>
          <t>Recruiter</t>
        </is>
      </c>
      <c r="E21" t="inlineStr">
        <is>
          <t>Janakpur</t>
        </is>
      </c>
      <c r="F21" t="inlineStr">
        <is>
          <t>Female</t>
        </is>
      </c>
      <c r="G21" t="n">
        <v>26</v>
      </c>
      <c r="H21" t="n">
        <v>2.7</v>
      </c>
      <c r="I21" t="inlineStr">
        <is>
          <t>2022-04-04</t>
        </is>
      </c>
      <c r="J21" s="4" t="n">
        <v>46000</v>
      </c>
      <c r="K21" s="4" t="n">
        <v>5000</v>
      </c>
      <c r="L21" s="5" t="n">
        <v>3.7</v>
      </c>
      <c r="M21" t="n">
        <v>4</v>
      </c>
      <c r="N21" t="n">
        <v>19</v>
      </c>
      <c r="O21" t="inlineStr"/>
      <c r="P21" t="inlineStr">
        <is>
          <t>Anita</t>
        </is>
      </c>
      <c r="Q21" t="inlineStr">
        <is>
          <t>Full-Time</t>
        </is>
      </c>
      <c r="R21" t="inlineStr">
        <is>
          <t>Remote</t>
        </is>
      </c>
      <c r="S21" t="inlineStr">
        <is>
          <t>MBA</t>
        </is>
      </c>
      <c r="T21" t="inlineStr">
        <is>
          <t>PU</t>
        </is>
      </c>
      <c r="U21" t="inlineStr">
        <is>
          <t>Recruitment,Excel,Communication</t>
        </is>
      </c>
      <c r="V21" t="n">
        <v>1</v>
      </c>
      <c r="W21" t="n">
        <v>8</v>
      </c>
      <c r="X21" t="n">
        <v>8</v>
      </c>
      <c r="Y21" t="n">
        <v>1</v>
      </c>
      <c r="Z21" t="inlineStr">
        <is>
          <t>No</t>
        </is>
      </c>
      <c r="AA21" t="inlineStr"/>
      <c r="AB21" t="n">
        <v>3.8</v>
      </c>
      <c r="AC21" t="inlineStr">
        <is>
          <t>Medium</t>
        </is>
      </c>
      <c r="AD21" t="n">
        <v>3</v>
      </c>
      <c r="AE21" t="inlineStr">
        <is>
          <t>LinkedIn</t>
        </is>
      </c>
      <c r="AF21" s="4">
        <f>J21+K21</f>
        <v/>
      </c>
      <c r="AG21" s="4">
        <f>AF21*12</f>
        <v/>
      </c>
      <c r="AH21" s="5">
        <f>ROUND(YEARFRAC(I21,TODAY()),1)</f>
        <v/>
      </c>
      <c r="AI21">
        <f>IF(G21&lt;=25,"18-25",IF(G21&lt;=35,"26-35","36+"))</f>
        <v/>
      </c>
    </row>
    <row r="22">
      <c r="A22" t="n">
        <v>119</v>
      </c>
      <c r="B22" t="inlineStr">
        <is>
          <t>Roshan BK</t>
        </is>
      </c>
      <c r="C22" t="inlineStr">
        <is>
          <t>Marketing</t>
        </is>
      </c>
      <c r="D22" t="inlineStr">
        <is>
          <t>Content Writer</t>
        </is>
      </c>
      <c r="E22" t="inlineStr">
        <is>
          <t>Butwal</t>
        </is>
      </c>
      <c r="F22" t="inlineStr">
        <is>
          <t>Male</t>
        </is>
      </c>
      <c r="G22" t="n">
        <v>25</v>
      </c>
      <c r="H22" t="n">
        <v>2</v>
      </c>
      <c r="I22" t="inlineStr">
        <is>
          <t>2023-02-13</t>
        </is>
      </c>
      <c r="J22" s="4" t="n">
        <v>38000</v>
      </c>
      <c r="K22" s="4" t="n">
        <v>3500</v>
      </c>
      <c r="L22" s="5" t="n">
        <v>3.3</v>
      </c>
      <c r="M22" t="n">
        <v>3</v>
      </c>
      <c r="N22" t="n">
        <v>21</v>
      </c>
      <c r="O22" t="inlineStr"/>
      <c r="P22" t="inlineStr">
        <is>
          <t>Mina</t>
        </is>
      </c>
      <c r="Q22" t="inlineStr">
        <is>
          <t>Contract</t>
        </is>
      </c>
      <c r="R22" t="inlineStr">
        <is>
          <t>Remote</t>
        </is>
      </c>
      <c r="S22" t="inlineStr">
        <is>
          <t>BA</t>
        </is>
      </c>
      <c r="T22" t="inlineStr">
        <is>
          <t>TU</t>
        </is>
      </c>
      <c r="U22" t="inlineStr">
        <is>
          <t>Writing,SEO,Social Media</t>
        </is>
      </c>
      <c r="V22" t="n">
        <v>0</v>
      </c>
      <c r="W22" t="n">
        <v>5</v>
      </c>
      <c r="X22" t="n">
        <v>9</v>
      </c>
      <c r="Y22" t="n">
        <v>2</v>
      </c>
      <c r="Z22" t="inlineStr">
        <is>
          <t>Yes</t>
        </is>
      </c>
      <c r="AA22" t="inlineStr">
        <is>
          <t>2025-09-01</t>
        </is>
      </c>
      <c r="AB22" t="n">
        <v>3</v>
      </c>
      <c r="AC22" t="inlineStr">
        <is>
          <t>High</t>
        </is>
      </c>
      <c r="AD22" t="n">
        <v>2</v>
      </c>
      <c r="AE22" t="inlineStr">
        <is>
          <t>Job Portal</t>
        </is>
      </c>
      <c r="AF22" s="4">
        <f>J22+K22</f>
        <v/>
      </c>
      <c r="AG22" s="4">
        <f>AF22*12</f>
        <v/>
      </c>
      <c r="AH22" s="5">
        <f>ROUND(YEARFRAC(I22,TODAY()),1)</f>
        <v/>
      </c>
      <c r="AI22">
        <f>IF(G22&lt;=25,"18-25",IF(G22&lt;=35,"26-35","36+"))</f>
        <v/>
      </c>
    </row>
    <row r="23">
      <c r="A23" t="n">
        <v>120</v>
      </c>
      <c r="B23" t="inlineStr">
        <is>
          <t>Mina Khatri</t>
        </is>
      </c>
      <c r="C23" t="inlineStr">
        <is>
          <t>Finance</t>
        </is>
      </c>
      <c r="D23" t="inlineStr">
        <is>
          <t>Financial Analyst</t>
        </is>
      </c>
      <c r="E23" t="inlineStr">
        <is>
          <t>Kathmandu</t>
        </is>
      </c>
      <c r="F23" t="inlineStr">
        <is>
          <t>Female</t>
        </is>
      </c>
      <c r="G23" t="n">
        <v>34</v>
      </c>
      <c r="H23" t="n">
        <v>7.5</v>
      </c>
      <c r="I23" t="inlineStr">
        <is>
          <t>2018-11-28</t>
        </is>
      </c>
      <c r="J23" s="4" t="n">
        <v>88000</v>
      </c>
      <c r="K23" s="4" t="n">
        <v>14000</v>
      </c>
      <c r="L23" s="5" t="n">
        <v>4.6</v>
      </c>
      <c r="M23" t="n">
        <v>7</v>
      </c>
      <c r="N23" t="n">
        <v>32</v>
      </c>
      <c r="O23" t="inlineStr">
        <is>
          <t>2024-05-18</t>
        </is>
      </c>
      <c r="P23" t="inlineStr">
        <is>
          <t>Anita</t>
        </is>
      </c>
      <c r="Q23" t="inlineStr">
        <is>
          <t>Full-Time</t>
        </is>
      </c>
      <c r="R23" t="inlineStr">
        <is>
          <t>Hybrid</t>
        </is>
      </c>
      <c r="S23" t="inlineStr">
        <is>
          <t>MBA</t>
        </is>
      </c>
      <c r="T23" t="inlineStr">
        <is>
          <t>KU</t>
        </is>
      </c>
      <c r="U23" t="inlineStr">
        <is>
          <t>Excel,Financial Modeling,SQL</t>
        </is>
      </c>
      <c r="V23" t="n">
        <v>4</v>
      </c>
      <c r="W23" t="n">
        <v>9</v>
      </c>
      <c r="X23" t="n">
        <v>4</v>
      </c>
      <c r="Y23" t="n">
        <v>0</v>
      </c>
      <c r="Z23" t="inlineStr">
        <is>
          <t>No</t>
        </is>
      </c>
      <c r="AA23" t="inlineStr"/>
      <c r="AB23" t="n">
        <v>4.5</v>
      </c>
      <c r="AC23" t="inlineStr">
        <is>
          <t>Low</t>
        </is>
      </c>
      <c r="AD23" t="n">
        <v>5</v>
      </c>
      <c r="AE23" t="inlineStr">
        <is>
          <t>Referral</t>
        </is>
      </c>
      <c r="AF23" s="4">
        <f>J23+K23</f>
        <v/>
      </c>
      <c r="AG23" s="4">
        <f>AF23*12</f>
        <v/>
      </c>
      <c r="AH23" s="5">
        <f>ROUND(YEARFRAC(I23,TODAY()),1)</f>
        <v/>
      </c>
      <c r="AI23">
        <f>IF(G23&lt;=25,"18-25",IF(G23&lt;=35,"26-35","36+"))</f>
        <v/>
      </c>
    </row>
  </sheetData>
  <mergeCells count="1">
    <mergeCell ref="A1:AD1"/>
  </mergeCells>
  <conditionalFormatting sqref="A4:AI23">
    <cfRule type="expression" priority="1" dxfId="0">
      <formula>$AC4="High"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Pandas Interview Questions</t>
        </is>
      </c>
    </row>
    <row r="2">
      <c r="A2" t="inlineStr">
        <is>
          <t>1. Read only the Interview_Dataset sheet from the Excel file into pandas.</t>
        </is>
      </c>
    </row>
    <row r="3">
      <c r="A3" t="inlineStr">
        <is>
          <t>2. Show the first 3 rows, last 3 rows, shape, column names, and data types.</t>
        </is>
      </c>
    </row>
    <row r="4">
      <c r="A4" t="inlineStr">
        <is>
          <t>3. Find all columns that contain missing values.</t>
        </is>
      </c>
    </row>
    <row r="5">
      <c r="A5" t="inlineStr">
        <is>
          <t>4. Convert Join_Date, Last_Promotion_Date, and Exit_Date to datetime.</t>
        </is>
      </c>
    </row>
    <row r="6">
      <c r="A6" t="inlineStr">
        <is>
          <t>5. Count employees department-wise.</t>
        </is>
      </c>
    </row>
    <row r="7">
      <c r="A7" t="inlineStr">
        <is>
          <t>6. Find the average salary for each department.</t>
        </is>
      </c>
    </row>
    <row r="8">
      <c r="A8" t="inlineStr">
        <is>
          <t>7. Find the employee with the highest salary in each department.</t>
        </is>
      </c>
    </row>
    <row r="9">
      <c r="A9" t="inlineStr">
        <is>
          <t>8. Filter employees whose Salary is greater than 60000 and Performance_Score is above 4.0.</t>
        </is>
      </c>
    </row>
    <row r="10">
      <c r="A10" t="inlineStr">
        <is>
          <t>9. Find employees from Kathmandu working in Engineering.</t>
        </is>
      </c>
    </row>
    <row r="11">
      <c r="A11" t="inlineStr">
        <is>
          <t>10. Find employees who have resigned and also display their Exit_Date.</t>
        </is>
      </c>
    </row>
    <row r="12">
      <c r="A12" t="inlineStr">
        <is>
          <t>11. Calculate tenure in months using Join_Date.</t>
        </is>
      </c>
    </row>
    <row r="13">
      <c r="A13" t="inlineStr">
        <is>
          <t>12. Create a new column called Total_Compensation = Salary + Bonus.</t>
        </is>
      </c>
    </row>
    <row r="14">
      <c r="A14" t="inlineStr">
        <is>
          <t>13. Sort employees by Salary descending, then by Performance_Score descending.</t>
        </is>
      </c>
    </row>
    <row r="15">
      <c r="A15" t="inlineStr">
        <is>
          <t>14. Find top 5 employees by Bonus.</t>
        </is>
      </c>
    </row>
    <row r="16">
      <c r="A16" t="inlineStr">
        <is>
          <t>15. Group by Department and get mean, min, max salary.</t>
        </is>
      </c>
    </row>
    <row r="17">
      <c r="A17" t="inlineStr">
        <is>
          <t>16. Find department-wise average performance score and average satisfaction score.</t>
        </is>
      </c>
    </row>
    <row r="18">
      <c r="A18" t="inlineStr">
        <is>
          <t>17. Count how many employees are Full-Time, Contract, and Intern.</t>
        </is>
      </c>
    </row>
    <row r="19">
      <c r="A19" t="inlineStr">
        <is>
          <t>18. Find the percentage of employees who resigned.</t>
        </is>
      </c>
    </row>
    <row r="20">
      <c r="A20" t="inlineStr">
        <is>
          <t>19. Which manager handles the highest number of employees?</t>
        </is>
      </c>
    </row>
    <row r="21">
      <c r="A21" t="inlineStr">
        <is>
          <t>20. Find employees with more than 5 years of experience and satisfaction score below 3.5.</t>
        </is>
      </c>
    </row>
    <row r="22">
      <c r="A22" t="inlineStr">
        <is>
          <t>21. Find duplicate cities or duplicate names if any.</t>
        </is>
      </c>
    </row>
    <row r="23">
      <c r="A23" t="inlineStr">
        <is>
          <t>22. Extract employees whose skills contain Python.</t>
        </is>
      </c>
    </row>
    <row r="24">
      <c r="A24" t="inlineStr">
        <is>
          <t>23. Extract employees whose skills contain Excel.</t>
        </is>
      </c>
    </row>
    <row r="25">
      <c r="A25" t="inlineStr">
        <is>
          <t>24. Create age buckets and count employees in each bucket.</t>
        </is>
      </c>
    </row>
    <row r="26">
      <c r="A26" t="inlineStr">
        <is>
          <t>25. Find correlation between Salary, Bonus, Experience_Years, Performance_Score, Satisfaction_Score.</t>
        </is>
      </c>
    </row>
    <row r="27">
      <c r="A27" t="inlineStr">
        <is>
          <t>26. Which recruitment source brought the most employees?</t>
        </is>
      </c>
    </row>
    <row r="28">
      <c r="A28" t="inlineStr">
        <is>
          <t>27. Compare average salary by Work_Mode.</t>
        </is>
      </c>
    </row>
    <row r="29">
      <c r="A29" t="inlineStr">
        <is>
          <t>28. Compare average performance score by Gender.</t>
        </is>
      </c>
    </row>
    <row r="30">
      <c r="A30" t="inlineStr">
        <is>
          <t>29. Create a pivot table of average salary by Department and Work_Mode.</t>
        </is>
      </c>
    </row>
    <row r="31">
      <c r="A31" t="inlineStr">
        <is>
          <t>30. Create a pivot table of employee count by Manager and Department.</t>
        </is>
      </c>
    </row>
    <row r="32">
      <c r="A32" t="inlineStr">
        <is>
          <t>31. Find attrition count and attrition rate by Department.</t>
        </is>
      </c>
    </row>
    <row r="33">
      <c r="A33" t="inlineStr">
        <is>
          <t>32. Find average overtime hours and leaves taken by Attrition_Risk.</t>
        </is>
      </c>
    </row>
    <row r="34">
      <c r="A34" t="inlineStr">
        <is>
          <t>33. Which department has the highest annual cost to company?</t>
        </is>
      </c>
    </row>
    <row r="35">
      <c r="A35" t="inlineStr">
        <is>
          <t>34. Find employees who never got promoted (Last_Promotion_Date is missing).</t>
        </is>
      </c>
    </row>
    <row r="36">
      <c r="A36" t="inlineStr">
        <is>
          <t>35. Find employees whose Certification_Count is above department average.</t>
        </is>
      </c>
    </row>
    <row r="37">
      <c r="A37" t="inlineStr">
        <is>
          <t>36. Find employees whose Salary is above overall median salary.</t>
        </is>
      </c>
    </row>
    <row r="38">
      <c r="A38" t="inlineStr">
        <is>
          <t>37. Rank employees within each department based on salary.</t>
        </is>
      </c>
    </row>
    <row r="39">
      <c r="A39" t="inlineStr">
        <is>
          <t>38. Find the second highest salary employee in each department.</t>
        </is>
      </c>
    </row>
    <row r="40">
      <c r="A40" t="inlineStr">
        <is>
          <t>39. Detect outliers in Salary using IQR method.</t>
        </is>
      </c>
    </row>
    <row r="41">
      <c r="A41" t="inlineStr">
        <is>
          <t>40. Find employees who joined in 2024.</t>
        </is>
      </c>
    </row>
    <row r="42">
      <c r="A42" t="inlineStr">
        <is>
          <t>41. Find monthly joining trend.</t>
        </is>
      </c>
    </row>
    <row r="43">
      <c r="A43" t="inlineStr">
        <is>
          <t>42. Find average salary of resigned vs non-resigned employees.</t>
        </is>
      </c>
    </row>
    <row r="44">
      <c r="A44" t="inlineStr">
        <is>
          <t>43. Which city has the highest average satisfaction score?</t>
        </is>
      </c>
    </row>
    <row r="45">
      <c r="A45" t="inlineStr">
        <is>
          <t>44. Find department-wise top performer using idxmax.</t>
        </is>
      </c>
    </row>
    <row r="46">
      <c r="A46" t="inlineStr">
        <is>
          <t>45. Create a summary table with Department, Employee_Count, Avg_Salary, Avg_Performance, Resignation_Count.</t>
        </is>
      </c>
    </row>
    <row r="47">
      <c r="A47" t="inlineStr">
        <is>
          <t>46. Use apply() to count number of skills each employee has.</t>
        </is>
      </c>
    </row>
    <row r="48">
      <c r="A48" t="inlineStr">
        <is>
          <t>47. Use map() to convert Resigned values Yes/No into 1/0.</t>
        </is>
      </c>
    </row>
    <row r="49">
      <c r="A49" t="inlineStr">
        <is>
          <t>48. Use query() to filter remote employees with salary &gt; 50000.</t>
        </is>
      </c>
    </row>
    <row r="50">
      <c r="A50" t="inlineStr">
        <is>
          <t>49. Export only Engineering employees to a new CSV file.</t>
        </is>
      </c>
    </row>
    <row r="51">
      <c r="A51" t="inlineStr">
        <is>
          <t>50. Bonus interview round: write clean pandas code for a mini EDA of this dataset in under 15 lines.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</cols>
  <sheetData>
    <row r="1">
      <c r="A1" s="6" t="inlineStr">
        <is>
          <t>What This Sheet Helps You Practice</t>
        </is>
      </c>
    </row>
    <row r="3">
      <c r="A3" s="7" t="inlineStr">
        <is>
          <t>Topic</t>
        </is>
      </c>
      <c r="B3" s="7" t="inlineStr">
        <is>
          <t>Columns You Will Use</t>
        </is>
      </c>
      <c r="C3" s="7" t="inlineStr">
        <is>
          <t>Why Interviewers Ask It</t>
        </is>
      </c>
    </row>
    <row r="4">
      <c r="A4" t="inlineStr">
        <is>
          <t>Filtering</t>
        </is>
      </c>
      <c r="B4" t="inlineStr">
        <is>
          <t>Department, City, Salary, Resigned</t>
        </is>
      </c>
      <c r="C4" t="inlineStr">
        <is>
          <t>Checks boolean indexing skill</t>
        </is>
      </c>
    </row>
    <row r="5">
      <c r="A5" t="inlineStr">
        <is>
          <t>Sorting</t>
        </is>
      </c>
      <c r="B5" t="inlineStr">
        <is>
          <t>Salary, Bonus, Performance_Score</t>
        </is>
      </c>
      <c r="C5" t="inlineStr">
        <is>
          <t>Tests ordering and multi-column sorting</t>
        </is>
      </c>
    </row>
    <row r="6">
      <c r="A6" t="inlineStr">
        <is>
          <t>GroupBy</t>
        </is>
      </c>
      <c r="B6" t="inlineStr">
        <is>
          <t>Department, Manager, Work_Mode</t>
        </is>
      </c>
      <c r="C6" t="inlineStr">
        <is>
          <t>Very common in interviews</t>
        </is>
      </c>
    </row>
    <row r="7">
      <c r="A7" t="inlineStr">
        <is>
          <t>Datetime</t>
        </is>
      </c>
      <c r="B7" t="inlineStr">
        <is>
          <t>Join_Date, Exit_Date, Last_Promotion_Date</t>
        </is>
      </c>
      <c r="C7" t="inlineStr">
        <is>
          <t>Tests date handling and feature creation</t>
        </is>
      </c>
    </row>
    <row r="8">
      <c r="A8" t="inlineStr">
        <is>
          <t>Pivot Table</t>
        </is>
      </c>
      <c r="B8" t="inlineStr">
        <is>
          <t>Department, Work_Mode, Manager</t>
        </is>
      </c>
      <c r="C8" t="inlineStr">
        <is>
          <t>Checks summarization ability</t>
        </is>
      </c>
    </row>
    <row r="9">
      <c r="A9" t="inlineStr">
        <is>
          <t>Missing Values</t>
        </is>
      </c>
      <c r="B9" t="inlineStr">
        <is>
          <t>Last_Promotion_Date, Exit_Date</t>
        </is>
      </c>
      <c r="C9" t="inlineStr">
        <is>
          <t>Common cleaning task</t>
        </is>
      </c>
    </row>
    <row r="10">
      <c r="A10" t="inlineStr">
        <is>
          <t>String Operations</t>
        </is>
      </c>
      <c r="B10" t="inlineStr">
        <is>
          <t>Skills</t>
        </is>
      </c>
      <c r="C10" t="inlineStr">
        <is>
          <t>Tests str.contains, split, apply</t>
        </is>
      </c>
    </row>
    <row r="11">
      <c r="A11" t="inlineStr">
        <is>
          <t>Feature Engineering</t>
        </is>
      </c>
      <c r="B11" t="inlineStr">
        <is>
          <t>Salary, Bonus, Age, Join_Date</t>
        </is>
      </c>
      <c r="C11" t="inlineStr">
        <is>
          <t>Tests creating new columns</t>
        </is>
      </c>
    </row>
    <row r="12">
      <c r="A12" t="inlineStr">
        <is>
          <t>Ranking</t>
        </is>
      </c>
      <c r="B12" t="inlineStr">
        <is>
          <t>Salary by Department</t>
        </is>
      </c>
      <c r="C12" t="inlineStr">
        <is>
          <t>Common technical round question</t>
        </is>
      </c>
    </row>
    <row r="13">
      <c r="A13" t="inlineStr">
        <is>
          <t>EDA Summary</t>
        </is>
      </c>
      <c r="B13" t="inlineStr">
        <is>
          <t>Whole dataset</t>
        </is>
      </c>
      <c r="C13" t="inlineStr">
        <is>
          <t>Tests confidence and coding clarity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2026-03-21T15:16:14Z</dcterms:created>
  <dcterms:modified xmlns:dcterms="http://purl.org/dc/terms/" xmlns:xsi="http://www.w3.org/2001/XMLSchema-instance" xsi:type="dcterms:W3CDTF">2026-03-21T15:16:14Z</dcterms:modified>
</cp:coreProperties>
</file>